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teaganreddy/Desktop/Claude Report/"/>
    </mc:Choice>
  </mc:AlternateContent>
  <xr:revisionPtr revIDLastSave="0" documentId="13_ncr:1_{01CA9757-6469-1946-8D13-870C88FA5B88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Dashboard" sheetId="1" r:id="rId1"/>
    <sheet name="Components" sheetId="2" r:id="rId2"/>
    <sheet name="Lists" sheetId="3" state="hidden" r:id="rId3"/>
  </sheets>
  <definedNames>
    <definedName name="BudgetLimit">Dashboard!$C$12</definedName>
    <definedName name="BudgetTarget">Dashboard!$C$11</definedName>
    <definedName name="Sources">Lists!$B$2:$B$20</definedName>
    <definedName name="Subsystems">Lists!$A$2:$A$20</definedName>
    <definedName name="Vendors">Lists!$C$2:$C$20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2" l="1"/>
  <c r="I43" i="2"/>
  <c r="I42" i="2"/>
  <c r="I41" i="2"/>
  <c r="I40" i="2"/>
  <c r="I39" i="2"/>
  <c r="I38" i="2"/>
  <c r="I37" i="2"/>
  <c r="C23" i="1" s="1"/>
  <c r="E23" i="1" s="1"/>
  <c r="I36" i="2"/>
  <c r="I35" i="2"/>
  <c r="C34" i="1" s="1"/>
  <c r="I34" i="2"/>
  <c r="C22" i="1" s="1"/>
  <c r="I33" i="2"/>
  <c r="C32" i="1" s="1"/>
  <c r="E32" i="1" s="1"/>
  <c r="I32" i="2"/>
  <c r="I31" i="2"/>
  <c r="I30" i="2"/>
  <c r="I29" i="2"/>
  <c r="I28" i="2"/>
  <c r="I27" i="2"/>
  <c r="I26" i="2"/>
  <c r="I25" i="2"/>
  <c r="D21" i="1" s="1"/>
  <c r="I24" i="2"/>
  <c r="I23" i="2"/>
  <c r="I22" i="2"/>
  <c r="I21" i="2"/>
  <c r="I20" i="2"/>
  <c r="I19" i="2"/>
  <c r="I18" i="2"/>
  <c r="D20" i="1" s="1"/>
  <c r="I17" i="2"/>
  <c r="C20" i="1" s="1"/>
  <c r="I16" i="2"/>
  <c r="I15" i="2"/>
  <c r="I14" i="2"/>
  <c r="I13" i="2"/>
  <c r="C30" i="1" s="1"/>
  <c r="I12" i="2"/>
  <c r="I11" i="2"/>
  <c r="I10" i="2"/>
  <c r="I9" i="2"/>
  <c r="C19" i="1" s="1"/>
  <c r="I8" i="2"/>
  <c r="I7" i="2"/>
  <c r="C29" i="1" s="1"/>
  <c r="I6" i="2"/>
  <c r="D19" i="1" s="1"/>
  <c r="D34" i="1"/>
  <c r="D33" i="1"/>
  <c r="C33" i="1"/>
  <c r="E33" i="1" s="1"/>
  <c r="D32" i="1"/>
  <c r="E31" i="1"/>
  <c r="D31" i="1"/>
  <c r="C31" i="1"/>
  <c r="D29" i="1"/>
  <c r="D23" i="1"/>
  <c r="D22" i="1"/>
  <c r="C21" i="1"/>
  <c r="E21" i="1" s="1"/>
  <c r="C6" i="1"/>
  <c r="D6" i="1" l="1"/>
  <c r="D30" i="1"/>
  <c r="D35" i="1" s="1"/>
  <c r="E22" i="1"/>
  <c r="E34" i="1"/>
  <c r="E20" i="1"/>
  <c r="C13" i="1"/>
  <c r="D13" i="1"/>
  <c r="C24" i="1"/>
  <c r="E19" i="1"/>
  <c r="E24" i="1" s="1"/>
  <c r="D24" i="1"/>
  <c r="C35" i="1"/>
  <c r="E6" i="1"/>
  <c r="C14" i="1"/>
  <c r="B6" i="1"/>
  <c r="C10" i="1"/>
  <c r="E29" i="1"/>
  <c r="E30" i="1" l="1"/>
  <c r="E35" i="1" s="1"/>
</calcChain>
</file>

<file path=xl/sharedStrings.xml><?xml version="1.0" encoding="utf-8"?>
<sst xmlns="http://schemas.openxmlformats.org/spreadsheetml/2006/main" count="253" uniqueCount="95">
  <si>
    <t>Component Costs</t>
  </si>
  <si>
    <t>3D hologram-like RGB LED fan display</t>
  </si>
  <si>
    <t>Total value</t>
  </si>
  <si>
    <t>Spent</t>
  </si>
  <si>
    <t>Recovered</t>
  </si>
  <si>
    <t>Budget left</t>
  </si>
  <si>
    <t>Budget</t>
  </si>
  <si>
    <t>Cost by subsystem</t>
  </si>
  <si>
    <t>Target</t>
  </si>
  <si>
    <t>Limit</t>
  </si>
  <si>
    <t>Used</t>
  </si>
  <si>
    <t>Status</t>
  </si>
  <si>
    <t>Yellow cells can be edited.</t>
  </si>
  <si>
    <t>By subsystem</t>
  </si>
  <si>
    <t>Subsystem</t>
  </si>
  <si>
    <t>Total</t>
  </si>
  <si>
    <t>Rotor</t>
  </si>
  <si>
    <t>Stator</t>
  </si>
  <si>
    <t>Linear rail</t>
  </si>
  <si>
    <t>Enclosure</t>
  </si>
  <si>
    <t>Wiring &amp; hardware</t>
  </si>
  <si>
    <t>By vendor</t>
  </si>
  <si>
    <t>Vendor</t>
  </si>
  <si>
    <t>MicroRobotics</t>
  </si>
  <si>
    <t>DIYElectronics</t>
  </si>
  <si>
    <t>RS Components</t>
  </si>
  <si>
    <t>M&amp;M Labs</t>
  </si>
  <si>
    <t>Ahmed's Textiles</t>
  </si>
  <si>
    <t>TimBuild</t>
  </si>
  <si>
    <t>Components</t>
  </si>
  <si>
    <t>From Table 8 of the report. Shaded rows were recovered at no cost.</t>
  </si>
  <si>
    <t>#</t>
  </si>
  <si>
    <t>Component</t>
  </si>
  <si>
    <t>SKU</t>
  </si>
  <si>
    <t>Unit cost</t>
  </si>
  <si>
    <t>Qty</t>
  </si>
  <si>
    <t>Source</t>
  </si>
  <si>
    <t>Link</t>
  </si>
  <si>
    <t>FireBeetle 2 ESP32-S3</t>
  </si>
  <si>
    <t>Purchased</t>
  </si>
  <si>
    <t>DotStar LED strip, 144 LED/m, 500 mm</t>
  </si>
  <si>
    <t>124-5482</t>
  </si>
  <si>
    <t>LiPo battery 5000 mAh 3.7 V</t>
  </si>
  <si>
    <t>955565</t>
  </si>
  <si>
    <t>USB-C LiPo charger</t>
  </si>
  <si>
    <t>PK4056</t>
  </si>
  <si>
    <t>Pololu boost regulator 5 V 3 A</t>
  </si>
  <si>
    <t>4082</t>
  </si>
  <si>
    <t>A3144E Hall effect sensor (4 pack)</t>
  </si>
  <si>
    <t>A3144E</t>
  </si>
  <si>
    <t>Neodymium magnets 6x3 mm (5 pack)</t>
  </si>
  <si>
    <t>9MAGNDN42D6X3</t>
  </si>
  <si>
    <t>Rotor body (3D printed)</t>
  </si>
  <si>
    <t>LED strip holder (3D printed)</t>
  </si>
  <si>
    <t>2804 BLDC motor with AS5600 encoder</t>
  </si>
  <si>
    <t>FIT1034</t>
  </si>
  <si>
    <t>SimpleFOC Mini motor driver</t>
  </si>
  <si>
    <t>DRI0058</t>
  </si>
  <si>
    <t>FireBeetle 2 ESP32-C6</t>
  </si>
  <si>
    <t>9MDFFIREB2ESP32</t>
  </si>
  <si>
    <t>Buck converter, 5 V output</t>
  </si>
  <si>
    <t>9MDCDCFO5V</t>
  </si>
  <si>
    <t>AC adapter 12 V 5 A</t>
  </si>
  <si>
    <t>AC-12V5A-2155</t>
  </si>
  <si>
    <t>TO220 heatsink (4 pack)</t>
  </si>
  <si>
    <t>TO220H-KIT</t>
  </si>
  <si>
    <t>Stator body (3D printed)</t>
  </si>
  <si>
    <t>NEMA17 stepper motor</t>
  </si>
  <si>
    <t>A4988 stepper driver</t>
  </si>
  <si>
    <t>V-slot aluminium extrusion</t>
  </si>
  <si>
    <t>V-wheel</t>
  </si>
  <si>
    <t>GT2 timing belt 1220 mm</t>
  </si>
  <si>
    <t>GT2 timing pulley</t>
  </si>
  <si>
    <t>Pillow block bearing 8 mm</t>
  </si>
  <si>
    <t>Flexible shaft coupling</t>
  </si>
  <si>
    <t>Limit switch</t>
  </si>
  <si>
    <t>E18-D80NK IR sensor</t>
  </si>
  <si>
    <t>9MIRSENSOR</t>
  </si>
  <si>
    <t>Carriage mount (laser cut)</t>
  </si>
  <si>
    <t>Clear PVC sheet, 1 m</t>
  </si>
  <si>
    <t>Pine wood, 3 m</t>
  </si>
  <si>
    <t>Panel pins 40 mm</t>
  </si>
  <si>
    <t>26AWG wire, black, 5 m</t>
  </si>
  <si>
    <t>UL2007-BLK-5M</t>
  </si>
  <si>
    <t>26AWG wire, red, 5 m</t>
  </si>
  <si>
    <t>UL2007-RED-5M</t>
  </si>
  <si>
    <t>M3 bolt and spacer kit</t>
  </si>
  <si>
    <t>M2.5 bolt and spacer kit</t>
  </si>
  <si>
    <t>M2 bolt and spacer kit</t>
  </si>
  <si>
    <t>KF120 screw terminals</t>
  </si>
  <si>
    <t>MTS-101 toggle switch</t>
  </si>
  <si>
    <t>Protoboard 40x60 mm</t>
  </si>
  <si>
    <t>Subsystems</t>
  </si>
  <si>
    <t>Sources</t>
  </si>
  <si>
    <t>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</si>
</sst>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\ #,##0.00;\-&quot;R&quot;\ #,##0.00;&quot;-&quot;"/>
    <numFmt numFmtId="165" formatCode="&quot;R&quot;\ #,##0;\-&quot;R&quot;\ #,##0;&quot;-&quot;"/>
  </numFmts>
  <fonts count="11" x14ac:knownFonts="1">
    <font>
      <sz val="11"/>
      <color theme="1"/>
      <name val="Calibri"/>
      <family val="2"/>
      <scheme val="minor"/>
    </font>
    <font>
      <b/>
      <sz val="16"/>
      <color rgb="FF222222"/>
      <name val="Arial"/>
      <family val="2"/>
    </font>
    <font>
      <sz val="10"/>
      <color rgb="FF7A7A7A"/>
      <name val="Arial"/>
      <family val="2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u/>
      <sz val="10"/>
      <color rgb="FF1F4E9E"/>
      <name val="Arial"/>
      <family val="2"/>
    </font>
    <font>
      <sz val="9"/>
      <color rgb="FF7A7A7A"/>
      <name val="Arial"/>
      <family val="2"/>
    </font>
    <font>
      <b/>
      <sz val="15"/>
      <color rgb="FF222222"/>
      <name val="Arial"/>
      <family val="2"/>
    </font>
    <font>
      <b/>
      <sz val="11"/>
      <color rgb="FF222222"/>
      <name val="Arial"/>
      <family val="2"/>
    </font>
    <font>
      <sz val="10"/>
      <color rgb="FF1F4E9E"/>
      <name val="Arial"/>
      <family val="2"/>
    </font>
    <font>
      <sz val="10"/>
      <color rgb="FF2E8B5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2E8B57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  <xf numFmtId="165" fontId="7" fillId="0" borderId="3" xfId="0" applyNumberFormat="1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164" fontId="4" fillId="0" borderId="2" xfId="0" applyNumberFormat="1" applyFont="1" applyBorder="1"/>
    <xf numFmtId="164" fontId="9" fillId="3" borderId="2" xfId="0" applyNumberFormat="1" applyFont="1" applyFill="1" applyBorder="1"/>
    <xf numFmtId="9" fontId="4" fillId="0" borderId="2" xfId="0" applyNumberFormat="1" applyFont="1" applyBorder="1"/>
    <xf numFmtId="0" fontId="10" fillId="0" borderId="0" xfId="0" applyFont="1"/>
    <xf numFmtId="49" fontId="4" fillId="0" borderId="2" xfId="0" applyNumberFormat="1" applyFont="1" applyBorder="1"/>
    <xf numFmtId="0" fontId="6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165" fontId="4" fillId="0" borderId="2" xfId="0" applyNumberFormat="1" applyFont="1" applyBorder="1"/>
    <xf numFmtId="0" fontId="3" fillId="0" borderId="4" xfId="0" applyFont="1" applyBorder="1"/>
    <xf numFmtId="165" fontId="3" fillId="0" borderId="4" xfId="0" applyNumberFormat="1" applyFont="1" applyBorder="1"/>
    <xf numFmtId="0" fontId="3" fillId="2" borderId="1" xfId="0" applyFont="1" applyFill="1" applyBorder="1" applyAlignment="1">
      <alignment vertical="center" indent="1"/>
    </xf>
    <xf numFmtId="0" fontId="2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indent="1"/>
    </xf>
    <xf numFmtId="0" fontId="0" fillId="0" borderId="2" xfId="0" applyBorder="1"/>
    <xf numFmtId="0" fontId="5" fillId="0" borderId="2" xfId="0" applyFont="1" applyBorder="1"/>
  </cellXfs>
  <cellStyles count="1">
    <cellStyle name="Normal" xfId="0" builtinId="0"/>
  </cellStyles>
  <dxfs count="3">
    <dxf>
      <fill>
        <patternFill patternType="solid">
          <fgColor rgb="FFDCEBF5"/>
          <bgColor rgb="FFDCEBF5"/>
        </patternFill>
      </fill>
    </dxf>
    <dxf>
      <font>
        <b/>
        <color rgb="FF2E8B57"/>
        <name val="Arial"/>
      </font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Dashboard!$C$18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2E8B57"/>
            </a:solidFill>
            <a:ln>
              <a:solidFill>
                <a:srgbClr val="2E8B57"/>
              </a:solidFill>
              <a:prstDash val="solid"/>
            </a:ln>
          </c:spPr>
          <c:invertIfNegative val="1"/>
          <c:cat>
            <c:strRef>
              <c:f>Dashboard!$B$19:$B$23</c:f>
              <c:strCache>
                <c:ptCount val="5"/>
                <c:pt idx="0">
                  <c:v>Rotor</c:v>
                </c:pt>
                <c:pt idx="1">
                  <c:v>Stator</c:v>
                </c:pt>
                <c:pt idx="2">
                  <c:v>Linear rail</c:v>
                </c:pt>
                <c:pt idx="3">
                  <c:v>Enclosure</c:v>
                </c:pt>
                <c:pt idx="4">
                  <c:v>Wiring &amp; hardware</c:v>
                </c:pt>
              </c:strCache>
            </c:strRef>
          </c:cat>
          <c:val>
            <c:numRef>
              <c:f>Dashboard!$C$19:$C$23</c:f>
              <c:numCache>
                <c:formatCode>"R"\ #,##0;\-"R"\ #,##0;"-"</c:formatCode>
                <c:ptCount val="5"/>
                <c:pt idx="0">
                  <c:v>2000.2399999999998</c:v>
                </c:pt>
                <c:pt idx="1">
                  <c:v>1531.75</c:v>
                </c:pt>
                <c:pt idx="2">
                  <c:v>300.48</c:v>
                </c:pt>
                <c:pt idx="3">
                  <c:v>529.12</c:v>
                </c:pt>
                <c:pt idx="4">
                  <c:v>248.4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8B5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0C-784E-9242-C40B4B14A21C}"/>
            </c:ext>
          </c:extLst>
        </c:ser>
        <c:ser>
          <c:idx val="1"/>
          <c:order val="1"/>
          <c:tx>
            <c:strRef>
              <c:f>Dashboard!$D$18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rgbClr val="A9CCE3"/>
            </a:solidFill>
            <a:ln>
              <a:solidFill>
                <a:srgbClr val="A9CCE3"/>
              </a:solidFill>
              <a:prstDash val="solid"/>
            </a:ln>
          </c:spPr>
          <c:invertIfNegative val="1"/>
          <c:cat>
            <c:strRef>
              <c:f>Dashboard!$B$19:$B$23</c:f>
              <c:strCache>
                <c:ptCount val="5"/>
                <c:pt idx="0">
                  <c:v>Rotor</c:v>
                </c:pt>
                <c:pt idx="1">
                  <c:v>Stator</c:v>
                </c:pt>
                <c:pt idx="2">
                  <c:v>Linear rail</c:v>
                </c:pt>
                <c:pt idx="3">
                  <c:v>Enclosure</c:v>
                </c:pt>
                <c:pt idx="4">
                  <c:v>Wiring &amp; hardware</c:v>
                </c:pt>
              </c:strCache>
            </c:strRef>
          </c:cat>
          <c:val>
            <c:numRef>
              <c:f>Dashboard!$D$19:$D$23</c:f>
              <c:numCache>
                <c:formatCode>"R"\ #,##0;\-"R"\ #,##0;"-"</c:formatCode>
                <c:ptCount val="5"/>
                <c:pt idx="0">
                  <c:v>1813.5</c:v>
                </c:pt>
                <c:pt idx="1">
                  <c:v>613.79999999999995</c:v>
                </c:pt>
                <c:pt idx="2">
                  <c:v>1636.7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A9CCE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0C-784E-9242-C40B4B14A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R&quot;\ #,##0" sourceLinked="0"/>
        <c:majorTickMark val="none"/>
        <c:minorTickMark val="none"/>
        <c:tickLblPos val="nextTo"/>
        <c:crossAx val="10"/>
        <c:crosses val="max"/>
        <c:crossBetween val="between"/>
        <c:majorUnit val="1000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s" displayName="Components" ref="B5:K44">
  <autoFilter ref="B5:K44" xr:uid="{00000000-0009-0000-0100-000001000000}"/>
  <tableColumns count="10">
    <tableColumn id="2" xr3:uid="{00000000-0010-0000-0000-000002000000}" name="#"/>
    <tableColumn id="3" xr3:uid="{00000000-0010-0000-0000-000003000000}" name="Component"/>
    <tableColumn id="4" xr3:uid="{00000000-0010-0000-0000-000004000000}" name="Subsystem"/>
    <tableColumn id="5" xr3:uid="{00000000-0010-0000-0000-000005000000}" name="Vendor"/>
    <tableColumn id="6" xr3:uid="{00000000-0010-0000-0000-000006000000}" name="SKU"/>
    <tableColumn id="7" xr3:uid="{00000000-0010-0000-0000-000007000000}" name="Unit cost"/>
    <tableColumn id="8" xr3:uid="{00000000-0010-0000-0000-000008000000}" name="Qty"/>
    <tableColumn id="9" xr3:uid="{00000000-0010-0000-0000-000009000000}" name="Total"/>
    <tableColumn id="10" xr3:uid="{00000000-0010-0000-0000-00000A000000}" name="Source"/>
    <tableColumn id="11" xr3:uid="{00000000-0010-0000-0000-00000B000000}" name="Link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ics.org.za/DRI0058" TargetMode="External"/><Relationship Id="rId13" Type="http://schemas.openxmlformats.org/officeDocument/2006/relationships/hyperlink" Target="https://www.diyelectronics.co.za/store/stepper-motors/43-nema-17-stepper-motor-17a-4-kg-cm.html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robotics.org.za/PK4056" TargetMode="External"/><Relationship Id="rId7" Type="http://schemas.openxmlformats.org/officeDocument/2006/relationships/hyperlink" Target="https://www.robotics.org.za/motors-controllers/dc-motors-brushless/FIT1034" TargetMode="External"/><Relationship Id="rId12" Type="http://schemas.openxmlformats.org/officeDocument/2006/relationships/hyperlink" Target="https://www.robotics.org.za/TO220H-KIT" TargetMode="External"/><Relationship Id="rId17" Type="http://schemas.openxmlformats.org/officeDocument/2006/relationships/hyperlink" Target="https://www.robotics.org.za/UL2007-RED-5M" TargetMode="External"/><Relationship Id="rId2" Type="http://schemas.openxmlformats.org/officeDocument/2006/relationships/hyperlink" Target="https://www.robotics.org.za/power-battery-solar/battery-lipo/955565" TargetMode="External"/><Relationship Id="rId16" Type="http://schemas.openxmlformats.org/officeDocument/2006/relationships/hyperlink" Target="https://www.robotics.org.za/UL2007-BLK-5M" TargetMode="External"/><Relationship Id="rId1" Type="http://schemas.openxmlformats.org/officeDocument/2006/relationships/hyperlink" Target="https://za.rs-online.com/web/p/led-strip-lights/1245482" TargetMode="External"/><Relationship Id="rId6" Type="http://schemas.openxmlformats.org/officeDocument/2006/relationships/hyperlink" Target="https://www.diyelectronics.co.za/store/magnets/1536-neodymium-n42-magnets-disk-6x3mm.html" TargetMode="External"/><Relationship Id="rId11" Type="http://schemas.openxmlformats.org/officeDocument/2006/relationships/hyperlink" Target="https://www.robotics.org.za/AC-12V5A-2155" TargetMode="External"/><Relationship Id="rId5" Type="http://schemas.openxmlformats.org/officeDocument/2006/relationships/hyperlink" Target="https://www.robotics.org.za/A3144E" TargetMode="External"/><Relationship Id="rId15" Type="http://schemas.openxmlformats.org/officeDocument/2006/relationships/hyperlink" Target="https://www.diyelectronics.co.za/store/ir/325-smart-infrared-proximity-sensor-e18-d80nk.html" TargetMode="External"/><Relationship Id="rId10" Type="http://schemas.openxmlformats.org/officeDocument/2006/relationships/hyperlink" Target="https://www.diyelectronics.co.za/store/switch-mode-modules/5399-dc-dc-step-down-buck-module-fixed-5v-output.html" TargetMode="External"/><Relationship Id="rId4" Type="http://schemas.openxmlformats.org/officeDocument/2006/relationships/hyperlink" Target="https://www.robotics.org.za/power-battery-solar/voltage-regulators/regulator-fix-5v/4082" TargetMode="External"/><Relationship Id="rId9" Type="http://schemas.openxmlformats.org/officeDocument/2006/relationships/hyperlink" Target="https://www.diyelectronics.co.za/store/iot/5497-firebeetle-2-esp32-c6-iot-microcontroller-with-wifi-ble-zigbee.html" TargetMode="External"/><Relationship Id="rId14" Type="http://schemas.openxmlformats.org/officeDocument/2006/relationships/hyperlink" Target="https://www.diyelectronics.co.za/store/diyelectronics/90-a4988-stepper-motor-driver-modu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5"/>
  <sheetViews>
    <sheetView workbookViewId="0"/>
  </sheetViews>
  <sheetFormatPr baseColWidth="10" defaultColWidth="8.83203125" defaultRowHeight="15" x14ac:dyDescent="0.2"/>
  <cols>
    <col min="1" max="1" width="3" customWidth="1"/>
    <col min="2" max="2" width="24" customWidth="1"/>
    <col min="3" max="5" width="15" customWidth="1"/>
    <col min="6" max="6" width="3" customWidth="1"/>
  </cols>
  <sheetData>
    <row r="2" spans="2:7" ht="26" customHeight="1" x14ac:dyDescent="0.2">
      <c r="B2" s="1" t="s">
        <v>0</v>
      </c>
    </row>
    <row r="3" spans="2:7" x14ac:dyDescent="0.2">
      <c r="B3" s="2" t="s">
        <v>1</v>
      </c>
    </row>
    <row r="5" spans="2:7" x14ac:dyDescent="0.2">
      <c r="B5" s="3" t="s">
        <v>2</v>
      </c>
      <c r="C5" s="3" t="s">
        <v>3</v>
      </c>
      <c r="D5" s="3" t="s">
        <v>4</v>
      </c>
      <c r="E5" s="3" t="s">
        <v>5</v>
      </c>
    </row>
    <row r="6" spans="2:7" ht="24" customHeight="1" x14ac:dyDescent="0.2">
      <c r="B6" s="4">
        <f>SUM('Components'!$I$6:$I$300)</f>
        <v>8673.9900000000016</v>
      </c>
      <c r="C6" s="4">
        <f>SUMIFS('Components'!$I$6:$I$300,'Components'!$J$6:$J$300,"Purchased")</f>
        <v>4609.99</v>
      </c>
      <c r="D6" s="4">
        <f>SUM('Components'!$I$6:$I$300)-SUMIFS('Components'!$I$6:$I$300,'Components'!$J$6:$J$300,"Purchased")</f>
        <v>4064.0000000000018</v>
      </c>
      <c r="E6" s="4">
        <f>BudgetLimit-SUMIFS('Components'!$I$6:$I$300,'Components'!$J$6:$J$300,"Purchased")</f>
        <v>390.01000000000022</v>
      </c>
    </row>
    <row r="9" spans="2:7" x14ac:dyDescent="0.2">
      <c r="B9" s="5" t="s">
        <v>6</v>
      </c>
      <c r="G9" s="5" t="s">
        <v>7</v>
      </c>
    </row>
    <row r="10" spans="2:7" x14ac:dyDescent="0.2">
      <c r="B10" s="6" t="s">
        <v>3</v>
      </c>
      <c r="C10" s="7">
        <f>SUMIFS('Components'!$I$6:$I$300,'Components'!$J$6:$J$300,"Purchased")</f>
        <v>4609.99</v>
      </c>
    </row>
    <row r="11" spans="2:7" x14ac:dyDescent="0.2">
      <c r="B11" s="6" t="s">
        <v>8</v>
      </c>
      <c r="C11" s="8">
        <v>4500</v>
      </c>
    </row>
    <row r="12" spans="2:7" x14ac:dyDescent="0.2">
      <c r="B12" s="6" t="s">
        <v>9</v>
      </c>
      <c r="C12" s="8">
        <v>5000</v>
      </c>
    </row>
    <row r="13" spans="2:7" x14ac:dyDescent="0.2">
      <c r="B13" s="6" t="s">
        <v>10</v>
      </c>
      <c r="C13" s="9">
        <f>SUMIFS('Components'!$I$6:$I$300,'Components'!$J$6:$J$300,"Purchased")/BudgetLimit</f>
        <v>0.92199799999999998</v>
      </c>
      <c r="D13" s="10" t="str">
        <f>REPT("█",ROUND(MIN(1,SUMIFS('Components'!$I$6:$I$300,'Components'!$J$6:$J$300,"Purchased")/BudgetLimit)*20,0))</f>
        <v>██████████████████</v>
      </c>
    </row>
    <row r="14" spans="2:7" x14ac:dyDescent="0.2">
      <c r="B14" s="6" t="s">
        <v>11</v>
      </c>
      <c r="C14" s="11" t="str">
        <f>IF(SUMIFS('Components'!$I$6:$I$300,'Components'!$J$6:$J$300,"Purchased")&lt;=BudgetTarget,"Under target",IF(SUMIFS('Components'!$I$6:$I$300,'Components'!$J$6:$J$300,"Purchased")&lt;=BudgetLimit,"Within limit","Over budget"))</f>
        <v>Within limit</v>
      </c>
    </row>
    <row r="15" spans="2:7" x14ac:dyDescent="0.2">
      <c r="B15" s="12" t="s">
        <v>12</v>
      </c>
    </row>
    <row r="17" spans="2:5" x14ac:dyDescent="0.2">
      <c r="B17" s="5" t="s">
        <v>13</v>
      </c>
    </row>
    <row r="18" spans="2:5" ht="20" customHeight="1" x14ac:dyDescent="0.2">
      <c r="B18" s="13" t="s">
        <v>14</v>
      </c>
      <c r="C18" s="14" t="s">
        <v>3</v>
      </c>
      <c r="D18" s="14" t="s">
        <v>4</v>
      </c>
      <c r="E18" s="14" t="s">
        <v>15</v>
      </c>
    </row>
    <row r="19" spans="2:5" x14ac:dyDescent="0.2">
      <c r="B19" s="6" t="s">
        <v>16</v>
      </c>
      <c r="C19" s="15">
        <f>SUMIFS('Components'!$I$6:$I$300,'Components'!$D$6:$D$300,B19,'Components'!$J$6:$J$300,"Purchased")</f>
        <v>2000.2399999999998</v>
      </c>
      <c r="D19" s="15">
        <f>SUMIFS('Components'!$I$6:$I$300,'Components'!$D$6:$D$300,B19,'Components'!$J$6:$J$300,"Recovered")</f>
        <v>1813.5</v>
      </c>
      <c r="E19" s="15">
        <f>C19+D19</f>
        <v>3813.74</v>
      </c>
    </row>
    <row r="20" spans="2:5" x14ac:dyDescent="0.2">
      <c r="B20" s="6" t="s">
        <v>17</v>
      </c>
      <c r="C20" s="15">
        <f>SUMIFS('Components'!$I$6:$I$300,'Components'!$D$6:$D$300,B20,'Components'!$J$6:$J$300,"Purchased")</f>
        <v>1531.75</v>
      </c>
      <c r="D20" s="15">
        <f>SUMIFS('Components'!$I$6:$I$300,'Components'!$D$6:$D$300,B20,'Components'!$J$6:$J$300,"Recovered")</f>
        <v>613.79999999999995</v>
      </c>
      <c r="E20" s="15">
        <f>C20+D20</f>
        <v>2145.5500000000002</v>
      </c>
    </row>
    <row r="21" spans="2:5" x14ac:dyDescent="0.2">
      <c r="B21" s="6" t="s">
        <v>18</v>
      </c>
      <c r="C21" s="15">
        <f>SUMIFS('Components'!$I$6:$I$300,'Components'!$D$6:$D$300,B21,'Components'!$J$6:$J$300,"Purchased")</f>
        <v>300.48</v>
      </c>
      <c r="D21" s="15">
        <f>SUMIFS('Components'!$I$6:$I$300,'Components'!$D$6:$D$300,B21,'Components'!$J$6:$J$300,"Recovered")</f>
        <v>1636.7</v>
      </c>
      <c r="E21" s="15">
        <f>C21+D21</f>
        <v>1937.18</v>
      </c>
    </row>
    <row r="22" spans="2:5" x14ac:dyDescent="0.2">
      <c r="B22" s="6" t="s">
        <v>19</v>
      </c>
      <c r="C22" s="15">
        <f>SUMIFS('Components'!$I$6:$I$300,'Components'!$D$6:$D$300,B22,'Components'!$J$6:$J$300,"Purchased")</f>
        <v>529.12</v>
      </c>
      <c r="D22" s="15">
        <f>SUMIFS('Components'!$I$6:$I$300,'Components'!$D$6:$D$300,B22,'Components'!$J$6:$J$300,"Recovered")</f>
        <v>0</v>
      </c>
      <c r="E22" s="15">
        <f>C22+D22</f>
        <v>529.12</v>
      </c>
    </row>
    <row r="23" spans="2:5" x14ac:dyDescent="0.2">
      <c r="B23" s="6" t="s">
        <v>20</v>
      </c>
      <c r="C23" s="15">
        <f>SUMIFS('Components'!$I$6:$I$300,'Components'!$D$6:$D$300,B23,'Components'!$J$6:$J$300,"Purchased")</f>
        <v>248.4</v>
      </c>
      <c r="D23" s="15">
        <f>SUMIFS('Components'!$I$6:$I$300,'Components'!$D$6:$D$300,B23,'Components'!$J$6:$J$300,"Recovered")</f>
        <v>0</v>
      </c>
      <c r="E23" s="15">
        <f>C23+D23</f>
        <v>248.4</v>
      </c>
    </row>
    <row r="24" spans="2:5" x14ac:dyDescent="0.2">
      <c r="B24" s="16" t="s">
        <v>15</v>
      </c>
      <c r="C24" s="17">
        <f>SUM(C19:C23)</f>
        <v>4609.99</v>
      </c>
      <c r="D24" s="17">
        <f>SUM(D19:D23)</f>
        <v>4064</v>
      </c>
      <c r="E24" s="17">
        <f>SUM(E19:E23)</f>
        <v>8673.99</v>
      </c>
    </row>
    <row r="27" spans="2:5" x14ac:dyDescent="0.2">
      <c r="B27" s="5" t="s">
        <v>21</v>
      </c>
    </row>
    <row r="28" spans="2:5" ht="20" customHeight="1" x14ac:dyDescent="0.2">
      <c r="B28" s="13" t="s">
        <v>22</v>
      </c>
      <c r="C28" s="14" t="s">
        <v>3</v>
      </c>
      <c r="D28" s="14" t="s">
        <v>4</v>
      </c>
      <c r="E28" s="14" t="s">
        <v>15</v>
      </c>
    </row>
    <row r="29" spans="2:5" x14ac:dyDescent="0.2">
      <c r="B29" s="6" t="s">
        <v>23</v>
      </c>
      <c r="C29" s="15">
        <f>SUMIFS('Components'!$I$6:$I$300,'Components'!$E$6:$E$300,B29,'Components'!$J$6:$J$300,"Purchased")</f>
        <v>2819.7999999999993</v>
      </c>
      <c r="D29" s="15">
        <f>SUMIFS('Components'!$I$6:$I$300,'Components'!$E$6:$E$300,B29,'Components'!$J$6:$J$300,"Recovered")</f>
        <v>1202.9000000000001</v>
      </c>
      <c r="E29" s="15">
        <f t="shared" ref="E29:E34" si="0">C29+D29</f>
        <v>4022.6999999999994</v>
      </c>
    </row>
    <row r="30" spans="2:5" x14ac:dyDescent="0.2">
      <c r="B30" s="6" t="s">
        <v>24</v>
      </c>
      <c r="C30" s="15">
        <f>SUMIFS('Components'!$I$6:$I$300,'Components'!$E$6:$E$300,B30,'Components'!$J$6:$J$300,"Purchased")</f>
        <v>259.13</v>
      </c>
      <c r="D30" s="15">
        <f>SUMIFS('Components'!$I$6:$I$300,'Components'!$E$6:$E$300,B30,'Components'!$J$6:$J$300,"Recovered")</f>
        <v>1894</v>
      </c>
      <c r="E30" s="15">
        <f t="shared" si="0"/>
        <v>2153.13</v>
      </c>
    </row>
    <row r="31" spans="2:5" x14ac:dyDescent="0.2">
      <c r="B31" s="6" t="s">
        <v>25</v>
      </c>
      <c r="C31" s="15">
        <f>SUMIFS('Components'!$I$6:$I$300,'Components'!$E$6:$E$300,B31,'Components'!$J$6:$J$300,"Purchased")</f>
        <v>0</v>
      </c>
      <c r="D31" s="15">
        <f>SUMIFS('Components'!$I$6:$I$300,'Components'!$E$6:$E$300,B31,'Components'!$J$6:$J$300,"Recovered")</f>
        <v>967.1</v>
      </c>
      <c r="E31" s="15">
        <f t="shared" si="0"/>
        <v>967.1</v>
      </c>
    </row>
    <row r="32" spans="2:5" x14ac:dyDescent="0.2">
      <c r="B32" s="6" t="s">
        <v>26</v>
      </c>
      <c r="C32" s="15">
        <f>SUMIFS('Components'!$I$6:$I$300,'Components'!$E$6:$E$300,B32,'Components'!$J$6:$J$300,"Purchased")</f>
        <v>1001.94</v>
      </c>
      <c r="D32" s="15">
        <f>SUMIFS('Components'!$I$6:$I$300,'Components'!$E$6:$E$300,B32,'Components'!$J$6:$J$300,"Recovered")</f>
        <v>0</v>
      </c>
      <c r="E32" s="15">
        <f t="shared" si="0"/>
        <v>1001.94</v>
      </c>
    </row>
    <row r="33" spans="2:5" x14ac:dyDescent="0.2">
      <c r="B33" s="6" t="s">
        <v>27</v>
      </c>
      <c r="C33" s="15">
        <f>SUMIFS('Components'!$I$6:$I$300,'Components'!$E$6:$E$300,B33,'Components'!$J$6:$J$300,"Purchased")</f>
        <v>348.12</v>
      </c>
      <c r="D33" s="15">
        <f>SUMIFS('Components'!$I$6:$I$300,'Components'!$E$6:$E$300,B33,'Components'!$J$6:$J$300,"Recovered")</f>
        <v>0</v>
      </c>
      <c r="E33" s="15">
        <f t="shared" si="0"/>
        <v>348.12</v>
      </c>
    </row>
    <row r="34" spans="2:5" x14ac:dyDescent="0.2">
      <c r="B34" s="6" t="s">
        <v>28</v>
      </c>
      <c r="C34" s="15">
        <f>SUMIFS('Components'!$I$6:$I$300,'Components'!$E$6:$E$300,B34,'Components'!$J$6:$J$300,"Purchased")</f>
        <v>181</v>
      </c>
      <c r="D34" s="15">
        <f>SUMIFS('Components'!$I$6:$I$300,'Components'!$E$6:$E$300,B34,'Components'!$J$6:$J$300,"Recovered")</f>
        <v>0</v>
      </c>
      <c r="E34" s="15">
        <f t="shared" si="0"/>
        <v>181</v>
      </c>
    </row>
    <row r="35" spans="2:5" x14ac:dyDescent="0.2">
      <c r="B35" s="16" t="s">
        <v>15</v>
      </c>
      <c r="C35" s="17">
        <f>SUM(C29:C34)</f>
        <v>4609.99</v>
      </c>
      <c r="D35" s="17">
        <f>SUM(D29:D34)</f>
        <v>4064</v>
      </c>
      <c r="E35" s="17">
        <f>SUM(E29:E34)</f>
        <v>8673.9900000000016</v>
      </c>
    </row>
  </sheetData>
  <conditionalFormatting sqref="C14">
    <cfRule type="expression" dxfId="2" priority="1">
      <formula>$C$14="Over budget"</formula>
    </cfRule>
    <cfRule type="expression" dxfId="1" priority="2">
      <formula>$C$14&lt;&gt;"Over budget"</formula>
    </cfRule>
  </conditionalFormatting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K44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44" customWidth="1"/>
    <col min="4" max="4" width="18" customWidth="1"/>
    <col min="5" max="6" width="17" customWidth="1"/>
    <col min="7" max="7" width="12" customWidth="1"/>
    <col min="8" max="8" width="6" customWidth="1"/>
    <col min="9" max="9" width="13" customWidth="1"/>
    <col min="10" max="10" width="12" customWidth="1"/>
    <col min="11" max="11" width="7" customWidth="1"/>
  </cols>
  <sheetData>
    <row r="2" spans="2:11" ht="26" customHeight="1" x14ac:dyDescent="0.2">
      <c r="B2" s="1" t="s">
        <v>29</v>
      </c>
    </row>
    <row r="3" spans="2:11" x14ac:dyDescent="0.2">
      <c r="B3" s="2" t="s">
        <v>30</v>
      </c>
    </row>
    <row r="5" spans="2:11" ht="20" customHeight="1" x14ac:dyDescent="0.2">
      <c r="B5" s="13" t="s">
        <v>31</v>
      </c>
      <c r="C5" s="13" t="s">
        <v>32</v>
      </c>
      <c r="D5" s="13" t="s">
        <v>14</v>
      </c>
      <c r="E5" s="13" t="s">
        <v>22</v>
      </c>
      <c r="F5" s="13" t="s">
        <v>33</v>
      </c>
      <c r="G5" s="14" t="s">
        <v>34</v>
      </c>
      <c r="H5" s="14" t="s">
        <v>35</v>
      </c>
      <c r="I5" s="14" t="s">
        <v>15</v>
      </c>
      <c r="J5" s="18" t="s">
        <v>36</v>
      </c>
      <c r="K5" s="13" t="s">
        <v>37</v>
      </c>
    </row>
    <row r="6" spans="2:11" x14ac:dyDescent="0.2">
      <c r="B6" s="19">
        <v>1</v>
      </c>
      <c r="C6" s="6" t="s">
        <v>38</v>
      </c>
      <c r="D6" s="6" t="s">
        <v>16</v>
      </c>
      <c r="E6" s="6" t="s">
        <v>23</v>
      </c>
      <c r="F6" s="6"/>
      <c r="G6" s="7">
        <v>423.2</v>
      </c>
      <c r="H6" s="20">
        <v>2</v>
      </c>
      <c r="I6" s="7">
        <f t="shared" ref="I6:I44" si="0">G6*H6</f>
        <v>846.4</v>
      </c>
      <c r="J6" s="21" t="s">
        <v>4</v>
      </c>
      <c r="K6" s="22"/>
    </row>
    <row r="7" spans="2:11" x14ac:dyDescent="0.2">
      <c r="B7" s="19">
        <v>2</v>
      </c>
      <c r="C7" s="6" t="s">
        <v>38</v>
      </c>
      <c r="D7" s="6" t="s">
        <v>16</v>
      </c>
      <c r="E7" s="6" t="s">
        <v>23</v>
      </c>
      <c r="F7" s="6"/>
      <c r="G7" s="7">
        <v>423.2</v>
      </c>
      <c r="H7" s="20">
        <v>1</v>
      </c>
      <c r="I7" s="7">
        <f t="shared" si="0"/>
        <v>423.2</v>
      </c>
      <c r="J7" s="21" t="s">
        <v>39</v>
      </c>
      <c r="K7" s="22"/>
    </row>
    <row r="8" spans="2:11" x14ac:dyDescent="0.2">
      <c r="B8" s="19">
        <v>3</v>
      </c>
      <c r="C8" s="6" t="s">
        <v>40</v>
      </c>
      <c r="D8" s="6" t="s">
        <v>16</v>
      </c>
      <c r="E8" s="6" t="s">
        <v>25</v>
      </c>
      <c r="F8" s="6" t="s">
        <v>41</v>
      </c>
      <c r="G8" s="7">
        <v>967.1</v>
      </c>
      <c r="H8" s="20">
        <v>1</v>
      </c>
      <c r="I8" s="7">
        <f t="shared" si="0"/>
        <v>967.1</v>
      </c>
      <c r="J8" s="21" t="s">
        <v>4</v>
      </c>
      <c r="K8" s="23" t="s">
        <v>37</v>
      </c>
    </row>
    <row r="9" spans="2:11" x14ac:dyDescent="0.2">
      <c r="B9" s="19">
        <v>4</v>
      </c>
      <c r="C9" s="6" t="s">
        <v>42</v>
      </c>
      <c r="D9" s="6" t="s">
        <v>16</v>
      </c>
      <c r="E9" s="6" t="s">
        <v>23</v>
      </c>
      <c r="F9" s="6" t="s">
        <v>43</v>
      </c>
      <c r="G9" s="7">
        <v>158.69999999999999</v>
      </c>
      <c r="H9" s="20">
        <v>2</v>
      </c>
      <c r="I9" s="7">
        <f t="shared" si="0"/>
        <v>317.39999999999998</v>
      </c>
      <c r="J9" s="21" t="s">
        <v>39</v>
      </c>
      <c r="K9" s="23" t="s">
        <v>37</v>
      </c>
    </row>
    <row r="10" spans="2:11" x14ac:dyDescent="0.2">
      <c r="B10" s="19">
        <v>5</v>
      </c>
      <c r="C10" s="6" t="s">
        <v>44</v>
      </c>
      <c r="D10" s="6" t="s">
        <v>16</v>
      </c>
      <c r="E10" s="6" t="s">
        <v>23</v>
      </c>
      <c r="F10" s="6" t="s">
        <v>45</v>
      </c>
      <c r="G10" s="7">
        <v>18.399999999999999</v>
      </c>
      <c r="H10" s="20">
        <v>2</v>
      </c>
      <c r="I10" s="7">
        <f t="shared" si="0"/>
        <v>36.799999999999997</v>
      </c>
      <c r="J10" s="21" t="s">
        <v>39</v>
      </c>
      <c r="K10" s="23" t="s">
        <v>37</v>
      </c>
    </row>
    <row r="11" spans="2:11" x14ac:dyDescent="0.2">
      <c r="B11" s="19">
        <v>6</v>
      </c>
      <c r="C11" s="6" t="s">
        <v>46</v>
      </c>
      <c r="D11" s="6" t="s">
        <v>16</v>
      </c>
      <c r="E11" s="6" t="s">
        <v>23</v>
      </c>
      <c r="F11" s="6" t="s">
        <v>47</v>
      </c>
      <c r="G11" s="7">
        <v>308.2</v>
      </c>
      <c r="H11" s="20">
        <v>2</v>
      </c>
      <c r="I11" s="7">
        <f t="shared" si="0"/>
        <v>616.4</v>
      </c>
      <c r="J11" s="21" t="s">
        <v>39</v>
      </c>
      <c r="K11" s="23" t="s">
        <v>37</v>
      </c>
    </row>
    <row r="12" spans="2:11" x14ac:dyDescent="0.2">
      <c r="B12" s="19">
        <v>7</v>
      </c>
      <c r="C12" s="6" t="s">
        <v>48</v>
      </c>
      <c r="D12" s="6" t="s">
        <v>16</v>
      </c>
      <c r="E12" s="6" t="s">
        <v>23</v>
      </c>
      <c r="F12" s="6" t="s">
        <v>49</v>
      </c>
      <c r="G12" s="7">
        <v>13.8</v>
      </c>
      <c r="H12" s="20">
        <v>1</v>
      </c>
      <c r="I12" s="7">
        <f t="shared" si="0"/>
        <v>13.8</v>
      </c>
      <c r="J12" s="21" t="s">
        <v>39</v>
      </c>
      <c r="K12" s="23" t="s">
        <v>37</v>
      </c>
    </row>
    <row r="13" spans="2:11" x14ac:dyDescent="0.2">
      <c r="B13" s="19">
        <v>8</v>
      </c>
      <c r="C13" s="6" t="s">
        <v>50</v>
      </c>
      <c r="D13" s="6" t="s">
        <v>16</v>
      </c>
      <c r="E13" s="6" t="s">
        <v>24</v>
      </c>
      <c r="F13" s="6" t="s">
        <v>51</v>
      </c>
      <c r="G13" s="7">
        <v>39.130000000000003</v>
      </c>
      <c r="H13" s="20">
        <v>2</v>
      </c>
      <c r="I13" s="7">
        <f t="shared" si="0"/>
        <v>78.260000000000005</v>
      </c>
      <c r="J13" s="21" t="s">
        <v>39</v>
      </c>
      <c r="K13" s="23" t="s">
        <v>37</v>
      </c>
    </row>
    <row r="14" spans="2:11" x14ac:dyDescent="0.2">
      <c r="B14" s="19">
        <v>9</v>
      </c>
      <c r="C14" s="6" t="s">
        <v>52</v>
      </c>
      <c r="D14" s="6" t="s">
        <v>16</v>
      </c>
      <c r="E14" s="6" t="s">
        <v>26</v>
      </c>
      <c r="F14" s="6"/>
      <c r="G14" s="7">
        <v>160.36000000000001</v>
      </c>
      <c r="H14" s="20">
        <v>2</v>
      </c>
      <c r="I14" s="7">
        <f t="shared" si="0"/>
        <v>320.72000000000003</v>
      </c>
      <c r="J14" s="21" t="s">
        <v>39</v>
      </c>
      <c r="K14" s="22"/>
    </row>
    <row r="15" spans="2:11" x14ac:dyDescent="0.2">
      <c r="B15" s="19">
        <v>10</v>
      </c>
      <c r="C15" s="6" t="s">
        <v>53</v>
      </c>
      <c r="D15" s="6" t="s">
        <v>16</v>
      </c>
      <c r="E15" s="6" t="s">
        <v>26</v>
      </c>
      <c r="F15" s="6"/>
      <c r="G15" s="7">
        <v>96.83</v>
      </c>
      <c r="H15" s="20">
        <v>2</v>
      </c>
      <c r="I15" s="7">
        <f t="shared" si="0"/>
        <v>193.66</v>
      </c>
      <c r="J15" s="21" t="s">
        <v>39</v>
      </c>
      <c r="K15" s="22"/>
    </row>
    <row r="16" spans="2:11" x14ac:dyDescent="0.2">
      <c r="B16" s="19">
        <v>11</v>
      </c>
      <c r="C16" s="6" t="s">
        <v>54</v>
      </c>
      <c r="D16" s="6" t="s">
        <v>17</v>
      </c>
      <c r="E16" s="6" t="s">
        <v>23</v>
      </c>
      <c r="F16" s="6" t="s">
        <v>55</v>
      </c>
      <c r="G16" s="7">
        <v>434.7</v>
      </c>
      <c r="H16" s="20">
        <v>2</v>
      </c>
      <c r="I16" s="7">
        <f t="shared" si="0"/>
        <v>869.4</v>
      </c>
      <c r="J16" s="21" t="s">
        <v>39</v>
      </c>
      <c r="K16" s="23" t="s">
        <v>37</v>
      </c>
    </row>
    <row r="17" spans="2:11" x14ac:dyDescent="0.2">
      <c r="B17" s="19">
        <v>12</v>
      </c>
      <c r="C17" s="6" t="s">
        <v>56</v>
      </c>
      <c r="D17" s="6" t="s">
        <v>17</v>
      </c>
      <c r="E17" s="6" t="s">
        <v>23</v>
      </c>
      <c r="F17" s="6" t="s">
        <v>57</v>
      </c>
      <c r="G17" s="7">
        <v>138</v>
      </c>
      <c r="H17" s="20">
        <v>2</v>
      </c>
      <c r="I17" s="7">
        <f t="shared" si="0"/>
        <v>276</v>
      </c>
      <c r="J17" s="21" t="s">
        <v>39</v>
      </c>
      <c r="K17" s="23" t="s">
        <v>37</v>
      </c>
    </row>
    <row r="18" spans="2:11" x14ac:dyDescent="0.2">
      <c r="B18" s="19">
        <v>13</v>
      </c>
      <c r="C18" s="6" t="s">
        <v>58</v>
      </c>
      <c r="D18" s="6" t="s">
        <v>17</v>
      </c>
      <c r="E18" s="6" t="s">
        <v>24</v>
      </c>
      <c r="F18" s="6" t="s">
        <v>59</v>
      </c>
      <c r="G18" s="7">
        <v>139</v>
      </c>
      <c r="H18" s="20">
        <v>2</v>
      </c>
      <c r="I18" s="7">
        <f t="shared" si="0"/>
        <v>278</v>
      </c>
      <c r="J18" s="21" t="s">
        <v>4</v>
      </c>
      <c r="K18" s="23" t="s">
        <v>37</v>
      </c>
    </row>
    <row r="19" spans="2:11" x14ac:dyDescent="0.2">
      <c r="B19" s="19">
        <v>14</v>
      </c>
      <c r="C19" s="6" t="s">
        <v>60</v>
      </c>
      <c r="D19" s="6" t="s">
        <v>17</v>
      </c>
      <c r="E19" s="6" t="s">
        <v>24</v>
      </c>
      <c r="F19" s="6" t="s">
        <v>61</v>
      </c>
      <c r="G19" s="7">
        <v>33.045000000000002</v>
      </c>
      <c r="H19" s="20">
        <v>2</v>
      </c>
      <c r="I19" s="7">
        <f t="shared" si="0"/>
        <v>66.09</v>
      </c>
      <c r="J19" s="21" t="s">
        <v>39</v>
      </c>
      <c r="K19" s="23" t="s">
        <v>37</v>
      </c>
    </row>
    <row r="20" spans="2:11" x14ac:dyDescent="0.2">
      <c r="B20" s="19">
        <v>15</v>
      </c>
      <c r="C20" s="6" t="s">
        <v>62</v>
      </c>
      <c r="D20" s="6" t="s">
        <v>17</v>
      </c>
      <c r="E20" s="6" t="s">
        <v>23</v>
      </c>
      <c r="F20" s="6" t="s">
        <v>63</v>
      </c>
      <c r="G20" s="7">
        <v>167.9</v>
      </c>
      <c r="H20" s="20">
        <v>2</v>
      </c>
      <c r="I20" s="7">
        <f t="shared" si="0"/>
        <v>335.8</v>
      </c>
      <c r="J20" s="21" t="s">
        <v>4</v>
      </c>
      <c r="K20" s="23" t="s">
        <v>37</v>
      </c>
    </row>
    <row r="21" spans="2:11" x14ac:dyDescent="0.2">
      <c r="B21" s="19">
        <v>16</v>
      </c>
      <c r="C21" s="6" t="s">
        <v>64</v>
      </c>
      <c r="D21" s="6" t="s">
        <v>17</v>
      </c>
      <c r="E21" s="6" t="s">
        <v>23</v>
      </c>
      <c r="F21" s="6" t="s">
        <v>65</v>
      </c>
      <c r="G21" s="7">
        <v>18.399999999999999</v>
      </c>
      <c r="H21" s="20">
        <v>1</v>
      </c>
      <c r="I21" s="7">
        <f t="shared" si="0"/>
        <v>18.399999999999999</v>
      </c>
      <c r="J21" s="21" t="s">
        <v>39</v>
      </c>
      <c r="K21" s="23" t="s">
        <v>37</v>
      </c>
    </row>
    <row r="22" spans="2:11" x14ac:dyDescent="0.2">
      <c r="B22" s="19">
        <v>17</v>
      </c>
      <c r="C22" s="6" t="s">
        <v>66</v>
      </c>
      <c r="D22" s="6" t="s">
        <v>17</v>
      </c>
      <c r="E22" s="6" t="s">
        <v>26</v>
      </c>
      <c r="F22" s="6"/>
      <c r="G22" s="7">
        <v>150.93</v>
      </c>
      <c r="H22" s="20">
        <v>2</v>
      </c>
      <c r="I22" s="7">
        <f t="shared" si="0"/>
        <v>301.86</v>
      </c>
      <c r="J22" s="21" t="s">
        <v>39</v>
      </c>
      <c r="K22" s="22"/>
    </row>
    <row r="23" spans="2:11" x14ac:dyDescent="0.2">
      <c r="B23" s="19">
        <v>18</v>
      </c>
      <c r="C23" s="6" t="s">
        <v>67</v>
      </c>
      <c r="D23" s="6" t="s">
        <v>18</v>
      </c>
      <c r="E23" s="6" t="s">
        <v>24</v>
      </c>
      <c r="F23" s="6"/>
      <c r="G23" s="7">
        <v>237</v>
      </c>
      <c r="H23" s="20">
        <v>1</v>
      </c>
      <c r="I23" s="7">
        <f t="shared" si="0"/>
        <v>237</v>
      </c>
      <c r="J23" s="21" t="s">
        <v>4</v>
      </c>
      <c r="K23" s="23" t="s">
        <v>37</v>
      </c>
    </row>
    <row r="24" spans="2:11" x14ac:dyDescent="0.2">
      <c r="B24" s="19">
        <v>19</v>
      </c>
      <c r="C24" s="6" t="s">
        <v>68</v>
      </c>
      <c r="D24" s="6" t="s">
        <v>18</v>
      </c>
      <c r="E24" s="6" t="s">
        <v>24</v>
      </c>
      <c r="F24" s="6"/>
      <c r="G24" s="7">
        <v>29</v>
      </c>
      <c r="H24" s="20">
        <v>1</v>
      </c>
      <c r="I24" s="7">
        <f t="shared" si="0"/>
        <v>29</v>
      </c>
      <c r="J24" s="21" t="s">
        <v>4</v>
      </c>
      <c r="K24" s="23" t="s">
        <v>37</v>
      </c>
    </row>
    <row r="25" spans="2:11" x14ac:dyDescent="0.2">
      <c r="B25" s="19">
        <v>20</v>
      </c>
      <c r="C25" s="6" t="s">
        <v>69</v>
      </c>
      <c r="D25" s="6" t="s">
        <v>18</v>
      </c>
      <c r="E25" s="6" t="s">
        <v>24</v>
      </c>
      <c r="F25" s="6"/>
      <c r="G25" s="7">
        <v>170</v>
      </c>
      <c r="H25" s="20">
        <v>4</v>
      </c>
      <c r="I25" s="7">
        <f t="shared" si="0"/>
        <v>680</v>
      </c>
      <c r="J25" s="21" t="s">
        <v>4</v>
      </c>
      <c r="K25" s="22"/>
    </row>
    <row r="26" spans="2:11" x14ac:dyDescent="0.2">
      <c r="B26" s="19">
        <v>21</v>
      </c>
      <c r="C26" s="6" t="s">
        <v>70</v>
      </c>
      <c r="D26" s="6" t="s">
        <v>18</v>
      </c>
      <c r="E26" s="6" t="s">
        <v>24</v>
      </c>
      <c r="F26" s="6"/>
      <c r="G26" s="7">
        <v>19</v>
      </c>
      <c r="H26" s="20">
        <v>16</v>
      </c>
      <c r="I26" s="7">
        <f t="shared" si="0"/>
        <v>304</v>
      </c>
      <c r="J26" s="21" t="s">
        <v>4</v>
      </c>
      <c r="K26" s="22"/>
    </row>
    <row r="27" spans="2:11" x14ac:dyDescent="0.2">
      <c r="B27" s="19">
        <v>22</v>
      </c>
      <c r="C27" s="6" t="s">
        <v>71</v>
      </c>
      <c r="D27" s="6" t="s">
        <v>18</v>
      </c>
      <c r="E27" s="6" t="s">
        <v>24</v>
      </c>
      <c r="F27" s="6"/>
      <c r="G27" s="7">
        <v>111</v>
      </c>
      <c r="H27" s="20">
        <v>1</v>
      </c>
      <c r="I27" s="7">
        <f t="shared" si="0"/>
        <v>111</v>
      </c>
      <c r="J27" s="21" t="s">
        <v>4</v>
      </c>
      <c r="K27" s="22"/>
    </row>
    <row r="28" spans="2:11" x14ac:dyDescent="0.2">
      <c r="B28" s="19">
        <v>23</v>
      </c>
      <c r="C28" s="6" t="s">
        <v>72</v>
      </c>
      <c r="D28" s="6" t="s">
        <v>18</v>
      </c>
      <c r="E28" s="6" t="s">
        <v>24</v>
      </c>
      <c r="F28" s="6"/>
      <c r="G28" s="7">
        <v>47</v>
      </c>
      <c r="H28" s="20">
        <v>2</v>
      </c>
      <c r="I28" s="7">
        <f t="shared" si="0"/>
        <v>94</v>
      </c>
      <c r="J28" s="21" t="s">
        <v>4</v>
      </c>
      <c r="K28" s="22"/>
    </row>
    <row r="29" spans="2:11" x14ac:dyDescent="0.2">
      <c r="B29" s="19">
        <v>24</v>
      </c>
      <c r="C29" s="6" t="s">
        <v>73</v>
      </c>
      <c r="D29" s="6" t="s">
        <v>18</v>
      </c>
      <c r="E29" s="6" t="s">
        <v>24</v>
      </c>
      <c r="F29" s="6"/>
      <c r="G29" s="7">
        <v>35</v>
      </c>
      <c r="H29" s="20">
        <v>4</v>
      </c>
      <c r="I29" s="7">
        <f t="shared" si="0"/>
        <v>140</v>
      </c>
      <c r="J29" s="21" t="s">
        <v>4</v>
      </c>
      <c r="K29" s="22"/>
    </row>
    <row r="30" spans="2:11" x14ac:dyDescent="0.2">
      <c r="B30" s="19">
        <v>25</v>
      </c>
      <c r="C30" s="6" t="s">
        <v>74</v>
      </c>
      <c r="D30" s="6" t="s">
        <v>18</v>
      </c>
      <c r="E30" s="6" t="s">
        <v>24</v>
      </c>
      <c r="F30" s="6"/>
      <c r="G30" s="7">
        <v>21</v>
      </c>
      <c r="H30" s="20">
        <v>1</v>
      </c>
      <c r="I30" s="7">
        <f t="shared" si="0"/>
        <v>21</v>
      </c>
      <c r="J30" s="21" t="s">
        <v>4</v>
      </c>
      <c r="K30" s="22"/>
    </row>
    <row r="31" spans="2:11" x14ac:dyDescent="0.2">
      <c r="B31" s="19">
        <v>26</v>
      </c>
      <c r="C31" s="6" t="s">
        <v>75</v>
      </c>
      <c r="D31" s="6" t="s">
        <v>18</v>
      </c>
      <c r="E31" s="6" t="s">
        <v>23</v>
      </c>
      <c r="F31" s="6"/>
      <c r="G31" s="7">
        <v>10.35</v>
      </c>
      <c r="H31" s="20">
        <v>2</v>
      </c>
      <c r="I31" s="7">
        <f t="shared" si="0"/>
        <v>20.7</v>
      </c>
      <c r="J31" s="21" t="s">
        <v>4</v>
      </c>
      <c r="K31" s="22"/>
    </row>
    <row r="32" spans="2:11" x14ac:dyDescent="0.2">
      <c r="B32" s="19">
        <v>27</v>
      </c>
      <c r="C32" s="6" t="s">
        <v>76</v>
      </c>
      <c r="D32" s="6" t="s">
        <v>18</v>
      </c>
      <c r="E32" s="6" t="s">
        <v>24</v>
      </c>
      <c r="F32" s="6" t="s">
        <v>77</v>
      </c>
      <c r="G32" s="7">
        <v>57.39</v>
      </c>
      <c r="H32" s="20">
        <v>2</v>
      </c>
      <c r="I32" s="7">
        <f t="shared" si="0"/>
        <v>114.78</v>
      </c>
      <c r="J32" s="21" t="s">
        <v>39</v>
      </c>
      <c r="K32" s="23" t="s">
        <v>37</v>
      </c>
    </row>
    <row r="33" spans="2:11" x14ac:dyDescent="0.2">
      <c r="B33" s="19">
        <v>28</v>
      </c>
      <c r="C33" s="6" t="s">
        <v>78</v>
      </c>
      <c r="D33" s="6" t="s">
        <v>18</v>
      </c>
      <c r="E33" s="6" t="s">
        <v>26</v>
      </c>
      <c r="F33" s="6"/>
      <c r="G33" s="7">
        <v>92.85</v>
      </c>
      <c r="H33" s="20">
        <v>2</v>
      </c>
      <c r="I33" s="7">
        <f t="shared" si="0"/>
        <v>185.7</v>
      </c>
      <c r="J33" s="21" t="s">
        <v>39</v>
      </c>
      <c r="K33" s="22"/>
    </row>
    <row r="34" spans="2:11" x14ac:dyDescent="0.2">
      <c r="B34" s="19">
        <v>29</v>
      </c>
      <c r="C34" s="6" t="s">
        <v>79</v>
      </c>
      <c r="D34" s="6" t="s">
        <v>19</v>
      </c>
      <c r="E34" s="6" t="s">
        <v>27</v>
      </c>
      <c r="F34" s="6"/>
      <c r="G34" s="7">
        <v>87.03</v>
      </c>
      <c r="H34" s="20">
        <v>4</v>
      </c>
      <c r="I34" s="7">
        <f t="shared" si="0"/>
        <v>348.12</v>
      </c>
      <c r="J34" s="21" t="s">
        <v>39</v>
      </c>
      <c r="K34" s="22"/>
    </row>
    <row r="35" spans="2:11" x14ac:dyDescent="0.2">
      <c r="B35" s="19">
        <v>30</v>
      </c>
      <c r="C35" s="6" t="s">
        <v>80</v>
      </c>
      <c r="D35" s="6" t="s">
        <v>19</v>
      </c>
      <c r="E35" s="6" t="s">
        <v>28</v>
      </c>
      <c r="F35" s="6"/>
      <c r="G35" s="7">
        <v>55</v>
      </c>
      <c r="H35" s="20">
        <v>3</v>
      </c>
      <c r="I35" s="7">
        <f t="shared" si="0"/>
        <v>165</v>
      </c>
      <c r="J35" s="21" t="s">
        <v>39</v>
      </c>
      <c r="K35" s="22"/>
    </row>
    <row r="36" spans="2:11" x14ac:dyDescent="0.2">
      <c r="B36" s="19">
        <v>31</v>
      </c>
      <c r="C36" s="6" t="s">
        <v>81</v>
      </c>
      <c r="D36" s="6" t="s">
        <v>19</v>
      </c>
      <c r="E36" s="6" t="s">
        <v>28</v>
      </c>
      <c r="F36" s="6"/>
      <c r="G36" s="7">
        <v>16</v>
      </c>
      <c r="H36" s="20">
        <v>1</v>
      </c>
      <c r="I36" s="7">
        <f t="shared" si="0"/>
        <v>16</v>
      </c>
      <c r="J36" s="21" t="s">
        <v>39</v>
      </c>
      <c r="K36" s="22"/>
    </row>
    <row r="37" spans="2:11" x14ac:dyDescent="0.2">
      <c r="B37" s="19">
        <v>32</v>
      </c>
      <c r="C37" s="6" t="s">
        <v>82</v>
      </c>
      <c r="D37" s="6" t="s">
        <v>20</v>
      </c>
      <c r="E37" s="6" t="s">
        <v>23</v>
      </c>
      <c r="F37" s="6" t="s">
        <v>83</v>
      </c>
      <c r="G37" s="7">
        <v>9.1999999999999993</v>
      </c>
      <c r="H37" s="20">
        <v>1</v>
      </c>
      <c r="I37" s="7">
        <f t="shared" si="0"/>
        <v>9.1999999999999993</v>
      </c>
      <c r="J37" s="21" t="s">
        <v>39</v>
      </c>
      <c r="K37" s="23" t="s">
        <v>37</v>
      </c>
    </row>
    <row r="38" spans="2:11" x14ac:dyDescent="0.2">
      <c r="B38" s="19">
        <v>33</v>
      </c>
      <c r="C38" s="6" t="s">
        <v>84</v>
      </c>
      <c r="D38" s="6" t="s">
        <v>20</v>
      </c>
      <c r="E38" s="6" t="s">
        <v>23</v>
      </c>
      <c r="F38" s="6" t="s">
        <v>85</v>
      </c>
      <c r="G38" s="7">
        <v>9.1999999999999993</v>
      </c>
      <c r="H38" s="20">
        <v>1</v>
      </c>
      <c r="I38" s="7">
        <f t="shared" si="0"/>
        <v>9.1999999999999993</v>
      </c>
      <c r="J38" s="21" t="s">
        <v>39</v>
      </c>
      <c r="K38" s="23" t="s">
        <v>37</v>
      </c>
    </row>
    <row r="39" spans="2:11" x14ac:dyDescent="0.2">
      <c r="B39" s="19">
        <v>34</v>
      </c>
      <c r="C39" s="6" t="s">
        <v>86</v>
      </c>
      <c r="D39" s="6" t="s">
        <v>20</v>
      </c>
      <c r="E39" s="6" t="s">
        <v>23</v>
      </c>
      <c r="F39" s="6"/>
      <c r="G39" s="7">
        <v>25.3</v>
      </c>
      <c r="H39" s="20">
        <v>2</v>
      </c>
      <c r="I39" s="7">
        <f t="shared" si="0"/>
        <v>50.6</v>
      </c>
      <c r="J39" s="21" t="s">
        <v>39</v>
      </c>
      <c r="K39" s="22"/>
    </row>
    <row r="40" spans="2:11" x14ac:dyDescent="0.2">
      <c r="B40" s="19">
        <v>35</v>
      </c>
      <c r="C40" s="6" t="s">
        <v>87</v>
      </c>
      <c r="D40" s="6" t="s">
        <v>20</v>
      </c>
      <c r="E40" s="6" t="s">
        <v>23</v>
      </c>
      <c r="F40" s="6"/>
      <c r="G40" s="7">
        <v>20.7</v>
      </c>
      <c r="H40" s="20">
        <v>2</v>
      </c>
      <c r="I40" s="7">
        <f t="shared" si="0"/>
        <v>41.4</v>
      </c>
      <c r="J40" s="21" t="s">
        <v>39</v>
      </c>
      <c r="K40" s="22"/>
    </row>
    <row r="41" spans="2:11" x14ac:dyDescent="0.2">
      <c r="B41" s="19">
        <v>36</v>
      </c>
      <c r="C41" s="6" t="s">
        <v>88</v>
      </c>
      <c r="D41" s="6" t="s">
        <v>20</v>
      </c>
      <c r="E41" s="6" t="s">
        <v>23</v>
      </c>
      <c r="F41" s="6"/>
      <c r="G41" s="7">
        <v>23</v>
      </c>
      <c r="H41" s="20">
        <v>1</v>
      </c>
      <c r="I41" s="7">
        <f t="shared" si="0"/>
        <v>23</v>
      </c>
      <c r="J41" s="21" t="s">
        <v>39</v>
      </c>
      <c r="K41" s="22"/>
    </row>
    <row r="42" spans="2:11" x14ac:dyDescent="0.2">
      <c r="B42" s="19">
        <v>37</v>
      </c>
      <c r="C42" s="6" t="s">
        <v>89</v>
      </c>
      <c r="D42" s="6" t="s">
        <v>20</v>
      </c>
      <c r="E42" s="6" t="s">
        <v>23</v>
      </c>
      <c r="F42" s="6"/>
      <c r="G42" s="7">
        <v>36.799999999999997</v>
      </c>
      <c r="H42" s="20">
        <v>2</v>
      </c>
      <c r="I42" s="7">
        <f t="shared" si="0"/>
        <v>73.599999999999994</v>
      </c>
      <c r="J42" s="21" t="s">
        <v>39</v>
      </c>
      <c r="K42" s="22"/>
    </row>
    <row r="43" spans="2:11" x14ac:dyDescent="0.2">
      <c r="B43" s="19">
        <v>38</v>
      </c>
      <c r="C43" s="6" t="s">
        <v>90</v>
      </c>
      <c r="D43" s="6" t="s">
        <v>20</v>
      </c>
      <c r="E43" s="6" t="s">
        <v>23</v>
      </c>
      <c r="F43" s="6"/>
      <c r="G43" s="7">
        <v>23</v>
      </c>
      <c r="H43" s="20">
        <v>1</v>
      </c>
      <c r="I43" s="7">
        <f t="shared" si="0"/>
        <v>23</v>
      </c>
      <c r="J43" s="21" t="s">
        <v>39</v>
      </c>
      <c r="K43" s="22"/>
    </row>
    <row r="44" spans="2:11" x14ac:dyDescent="0.2">
      <c r="B44" s="19">
        <v>39</v>
      </c>
      <c r="C44" s="6" t="s">
        <v>91</v>
      </c>
      <c r="D44" s="6" t="s">
        <v>20</v>
      </c>
      <c r="E44" s="6" t="s">
        <v>23</v>
      </c>
      <c r="F44" s="6"/>
      <c r="G44" s="7">
        <v>18.399999999999999</v>
      </c>
      <c r="H44" s="20">
        <v>1</v>
      </c>
      <c r="I44" s="7">
        <f t="shared" si="0"/>
        <v>18.399999999999999</v>
      </c>
      <c r="J44" s="21" t="s">
        <v>39</v>
      </c>
      <c r="K44" s="22"/>
    </row>
  </sheetData>
  <conditionalFormatting sqref="B6:K300">
    <cfRule type="expression" dxfId="0" priority="1">
      <formula>$J6="Recovered"</formula>
    </cfRule>
  </conditionalFormatting>
  <dataValidations count="3">
    <dataValidation type="list" allowBlank="1" sqref="D6:D300" xr:uid="{00000000-0002-0000-0100-000000000000}">
      <formula1>Subsystems</formula1>
    </dataValidation>
    <dataValidation type="list" allowBlank="1" sqref="E6:E300" xr:uid="{00000000-0002-0000-0100-000001000000}">
      <formula1>Vendors</formula1>
    </dataValidation>
    <dataValidation type="list" allowBlank="1" sqref="J6:J300" xr:uid="{00000000-0002-0000-0100-000002000000}">
      <formula1>Sources</formula1>
    </dataValidation>
  </dataValidations>
  <hyperlinks>
    <hyperlink ref="K8" r:id="rId1" xr:uid="{00000000-0004-0000-0100-000000000000}"/>
    <hyperlink ref="K9" r:id="rId2" xr:uid="{00000000-0004-0000-0100-000001000000}"/>
    <hyperlink ref="K10" r:id="rId3" xr:uid="{00000000-0004-0000-0100-000002000000}"/>
    <hyperlink ref="K11" r:id="rId4" xr:uid="{00000000-0004-0000-0100-000003000000}"/>
    <hyperlink ref="K12" r:id="rId5" xr:uid="{00000000-0004-0000-0100-000004000000}"/>
    <hyperlink ref="K13" r:id="rId6" xr:uid="{00000000-0004-0000-0100-000005000000}"/>
    <hyperlink ref="K16" r:id="rId7" xr:uid="{00000000-0004-0000-0100-000006000000}"/>
    <hyperlink ref="K17" r:id="rId8" xr:uid="{00000000-0004-0000-0100-000007000000}"/>
    <hyperlink ref="K18" r:id="rId9" xr:uid="{00000000-0004-0000-0100-000008000000}"/>
    <hyperlink ref="K19" r:id="rId10" xr:uid="{00000000-0004-0000-0100-000009000000}"/>
    <hyperlink ref="K20" r:id="rId11" xr:uid="{00000000-0004-0000-0100-00000A000000}"/>
    <hyperlink ref="K21" r:id="rId12" xr:uid="{00000000-0004-0000-0100-00000B000000}"/>
    <hyperlink ref="K23" r:id="rId13" xr:uid="{00000000-0004-0000-0100-00000C000000}"/>
    <hyperlink ref="K24" r:id="rId14" xr:uid="{00000000-0004-0000-0100-00000D000000}"/>
    <hyperlink ref="K32" r:id="rId15" xr:uid="{00000000-0004-0000-0100-00000E000000}"/>
    <hyperlink ref="K37" r:id="rId16" xr:uid="{00000000-0004-0000-0100-00000F000000}"/>
    <hyperlink ref="K38" r:id="rId17" xr:uid="{00000000-0004-0000-0100-000010000000}"/>
  </hyperlinks>
  <pageMargins left="0.75" right="0.75" top="1" bottom="1" header="0.5" footer="0.5"/>
  <pageSetup fitToHeight="0" orientation="landscape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t="s">
        <v>92</v>
      </c>
      <c r="B1" t="s">
        <v>93</v>
      </c>
      <c r="C1" t="s">
        <v>94</v>
      </c>
    </row>
    <row r="2" spans="1:3" x14ac:dyDescent="0.2">
      <c r="A2" t="s">
        <v>16</v>
      </c>
      <c r="B2" t="s">
        <v>39</v>
      </c>
      <c r="C2" t="s">
        <v>23</v>
      </c>
    </row>
    <row r="3" spans="1:3" x14ac:dyDescent="0.2">
      <c r="A3" t="s">
        <v>17</v>
      </c>
      <c r="B3" t="s">
        <v>4</v>
      </c>
      <c r="C3" t="s">
        <v>24</v>
      </c>
    </row>
    <row r="4" spans="1:3" x14ac:dyDescent="0.2">
      <c r="A4" t="s">
        <v>18</v>
      </c>
      <c r="C4" t="s">
        <v>25</v>
      </c>
    </row>
    <row r="5" spans="1:3" x14ac:dyDescent="0.2">
      <c r="A5" t="s">
        <v>19</v>
      </c>
      <c r="C5" t="s">
        <v>26</v>
      </c>
    </row>
    <row r="6" spans="1:3" x14ac:dyDescent="0.2">
      <c r="A6" t="s">
        <v>20</v>
      </c>
      <c r="C6" t="s">
        <v>27</v>
      </c>
    </row>
    <row r="7" spans="1:3" x14ac:dyDescent="0.2">
      <c r="C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Dashboard</vt:lpstr>
      <vt:lpstr>Components</vt:lpstr>
      <vt:lpstr>Lists</vt:lpstr>
      <vt:lpstr>BudgetLimit</vt:lpstr>
      <vt:lpstr>BudgetTarget</vt:lpstr>
      <vt:lpstr>Sources</vt:lpstr>
      <vt:lpstr>Subsystems</vt:lpstr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Teagan Reddy</cp:lastModifiedBy>
  <dcterms:created xsi:type="dcterms:W3CDTF">2026-10-12T19:13:02Z</dcterms:created>
  <dcterms:modified xsi:type="dcterms:W3CDTF">2026-10-12T19:14:22Z</dcterms:modified>
</cp:coreProperties>
</file>